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6D46A73-33C8-4071-B7AE-8734993E3A6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ctor_Data" sheetId="1" r:id="rId1"/>
    <sheet name="Material_Balance" sheetId="2" r:id="rId2"/>
    <sheet name="Column_Data" sheetId="3" r:id="rId3"/>
    <sheet name="Components" sheetId="4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6" i="2"/>
</calcChain>
</file>

<file path=xl/sharedStrings.xml><?xml version="1.0" encoding="utf-8"?>
<sst xmlns="http://schemas.openxmlformats.org/spreadsheetml/2006/main" count="147" uniqueCount="107">
  <si>
    <t>Reactor type</t>
  </si>
  <si>
    <t>Fixed bed, four stages with interstage cooling</t>
  </si>
  <si>
    <t>One fixed bed</t>
  </si>
  <si>
    <t>Catalyst</t>
  </si>
  <si>
    <t>Y-zeolite (90%) + alumina hydrogel (10%)</t>
  </si>
  <si>
    <t>Catalyst life (years)</t>
  </si>
  <si>
    <t>Reactor temperature (°C)</t>
  </si>
  <si>
    <t>245-270</t>
  </si>
  <si>
    <t>Reactor pressure (psig)</t>
  </si>
  <si>
    <t>WHSV, total feed (lb feed/lb cat/h)</t>
  </si>
  <si>
    <t>WHSV, ethylene (lb C2H4/lb cat/h)</t>
  </si>
  <si>
    <t>--</t>
  </si>
  <si>
    <t>Feed ratio (mol/mol)</t>
  </si>
  <si>
    <t>7.2 (benzene/ethylene); 6.8 (phenyl/ethyl)</t>
  </si>
  <si>
    <t>13 (benzene/PEB); 5.8 (phenyl/ethyl)</t>
  </si>
  <si>
    <t>Conversion (%)</t>
  </si>
  <si>
    <t>99.5 on ethylene</t>
  </si>
  <si>
    <t>13.4 on benzene; 92.9 on PEB</t>
  </si>
  <si>
    <t>Selectivity to EB (mol%)</t>
  </si>
  <si>
    <t>~100</t>
  </si>
  <si>
    <t>Selectivity to PEB (mol%)</t>
  </si>
  <si>
    <t>Overall Selectivity to EB (mol%)</t>
  </si>
  <si>
    <t>Plant Yield on Ethylene (mol%)</t>
  </si>
  <si>
    <t>Plant Yield on Benzene (mol%)</t>
  </si>
  <si>
    <t>Overall Material Balance (SRI Datasheet + Net Consumption Factors)</t>
  </si>
  <si>
    <t>Komponent</t>
  </si>
  <si>
    <t>Dəyər</t>
  </si>
  <si>
    <t>Vahid</t>
  </si>
  <si>
    <t>Qeyd / Mənbə</t>
  </si>
  <si>
    <t>EB Production Capacity</t>
  </si>
  <si>
    <t>lb/yr</t>
  </si>
  <si>
    <t>Datasheet</t>
  </si>
  <si>
    <t>Stream Factor</t>
  </si>
  <si>
    <t>-</t>
  </si>
  <si>
    <t>EB Product Flow (computed, lb/h)</t>
  </si>
  <si>
    <t>lb/h</t>
  </si>
  <si>
    <t>Capacity / (8760 x Stream Factor)</t>
  </si>
  <si>
    <t>EB Product Flow (datasheet, lb/h)</t>
  </si>
  <si>
    <t>Net Consumption / Production Factors (lb/lb EB)</t>
  </si>
  <si>
    <t>Ethylene</t>
  </si>
  <si>
    <t>lb/lb EB</t>
  </si>
  <si>
    <t>Benzene</t>
  </si>
  <si>
    <t>Vent gas</t>
  </si>
  <si>
    <t>Residue</t>
  </si>
  <si>
    <t>Computed Flows (= Net Factor × EB Product Flow)</t>
  </si>
  <si>
    <t>Ethylene flow (computed)</t>
  </si>
  <si>
    <t>Ethylene factor × EB flow (datasheet)</t>
  </si>
  <si>
    <t>Benzene flow (computed)</t>
  </si>
  <si>
    <t>Benzene factor × EB flow (datasheet)</t>
  </si>
  <si>
    <t>Vent gas flow (computed)</t>
  </si>
  <si>
    <t>Vent gas factor × EB flow (datasheet)</t>
  </si>
  <si>
    <t>Residue flow (computed)</t>
  </si>
  <si>
    <t>Residue factor × EB flow (datasheet)</t>
  </si>
  <si>
    <t>Raw Material Flows (datasheet, for comparison)</t>
  </si>
  <si>
    <t>Ethylene raw material</t>
  </si>
  <si>
    <t>Benzene raw material</t>
  </si>
  <si>
    <t>Separation Columns — Design Specs (SRI Datasheet)</t>
  </si>
  <si>
    <t>Kolon</t>
  </si>
  <si>
    <t>Funksiya</t>
  </si>
  <si>
    <t>Design Spec</t>
  </si>
  <si>
    <t>C-201</t>
  </si>
  <si>
    <t>Vent Gas Scrubber</t>
  </si>
  <si>
    <t>Valve trays; No design spec</t>
  </si>
  <si>
    <t>C-202</t>
  </si>
  <si>
    <t>Benzene Fractionator</t>
  </si>
  <si>
    <t>Valve trays; Mass recovery of EB in bottom stream = 93.534%</t>
  </si>
  <si>
    <t>C-203</t>
  </si>
  <si>
    <t>EB Column</t>
  </si>
  <si>
    <t>Valve trays; EB recovery in distillate = 98.4%; PEB recovery in bottom = 99.9%</t>
  </si>
  <si>
    <t>C-204</t>
  </si>
  <si>
    <t>PEB Column</t>
  </si>
  <si>
    <t>Valve trays; PEB recovery in distillate = 98.8%; Heavies recovery in bottom = 99.4%</t>
  </si>
  <si>
    <t>Process Components (SRI Datasheet)</t>
  </si>
  <si>
    <t>Rolu</t>
  </si>
  <si>
    <t>Axın (lb/h)</t>
  </si>
  <si>
    <t>Qeyd</t>
  </si>
  <si>
    <t>Raw material</t>
  </si>
  <si>
    <t>EB (Ethylbenzene)</t>
  </si>
  <si>
    <t>Product</t>
  </si>
  <si>
    <t>Əsas məhsul</t>
  </si>
  <si>
    <t>Xylene</t>
  </si>
  <si>
    <t>By-product</t>
  </si>
  <si>
    <t>—</t>
  </si>
  <si>
    <t>P-EB (PEB)</t>
  </si>
  <si>
    <t>By-product/Intermediate</t>
  </si>
  <si>
    <t>R-102-yə göndərilir (transalkilasiya)</t>
  </si>
  <si>
    <t>H2O</t>
  </si>
  <si>
    <t>Heavies</t>
  </si>
  <si>
    <t>Residue axınına daxil olur</t>
  </si>
  <si>
    <t>Lites</t>
  </si>
  <si>
    <t>By-product/constituent of raw material</t>
  </si>
  <si>
    <t>R-101 / R-102 — Reactor Specifications (SRI/PEP Datasheet)</t>
  </si>
  <si>
    <t>Parameters</t>
  </si>
  <si>
    <t>R-101 Alkylation Reactor</t>
  </si>
  <si>
    <t>R-102 Transalkylation Reactor</t>
  </si>
  <si>
    <t>Components</t>
  </si>
  <si>
    <t>EB</t>
  </si>
  <si>
    <t>P-EB</t>
  </si>
  <si>
    <t>raw material</t>
  </si>
  <si>
    <t>product</t>
  </si>
  <si>
    <t>by-product</t>
  </si>
  <si>
    <t>by-product/ Intermidiate product</t>
  </si>
  <si>
    <t>Contituement of raw material</t>
  </si>
  <si>
    <t>39.285 lb/hr</t>
  </si>
  <si>
    <t>109.054 lb/hr</t>
  </si>
  <si>
    <t>145.710 lb/hr</t>
  </si>
  <si>
    <r>
      <t>H</t>
    </r>
    <r>
      <rPr>
        <sz val="8"/>
        <color theme="1"/>
        <rFont val="Arial"/>
        <family val="2"/>
      </rPr>
      <t>2</t>
    </r>
    <r>
      <rPr>
        <sz val="11"/>
        <color theme="1"/>
        <rFont val="Arial"/>
        <family val="2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</si>
</sst>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3"/>
      <name val="Arial"/>
      <family val="2"/>
    </font>
    <font>
      <b/>
      <sz val="11"/>
      <color theme="3"/>
      <name val="Calibri"/>
      <family val="2"/>
      <charset val="1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9" fillId="5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/>
    <xf numFmtId="0" fontId="6" fillId="3" borderId="0" xfId="0" applyFont="1" applyFill="1"/>
    <xf numFmtId="0" fontId="0" fillId="3" borderId="0" xfId="0" applyFill="1"/>
    <xf numFmtId="0" fontId="1" fillId="0" borderId="0" xfId="0" applyFont="1" applyBorder="1"/>
    <xf numFmtId="0" fontId="8" fillId="0" borderId="0" xfId="0" applyFont="1" applyFill="1" applyBorder="1"/>
    <xf numFmtId="0" fontId="10" fillId="0" borderId="1" xfId="0" applyFont="1" applyBorder="1" applyAlignment="1">
      <alignment vertical="center" wrapText="1"/>
    </xf>
    <xf numFmtId="0" fontId="11" fillId="0" borderId="0" xfId="0" applyFont="1"/>
    <xf numFmtId="0" fontId="10" fillId="0" borderId="0" xfId="0" applyFont="1"/>
    <xf numFmtId="0" fontId="8" fillId="0" borderId="1" xfId="0" applyFont="1" applyBorder="1" applyAlignment="1">
      <alignment vertical="center" wrapText="1"/>
    </xf>
    <xf numFmtId="0" fontId="0" fillId="0" borderId="0" xfId="0" applyFont="1"/>
    <xf numFmtId="0" fontId="8" fillId="0" borderId="0" xfId="0" applyFont="1"/>
    <xf numFmtId="0" fontId="12" fillId="0" borderId="0" xfId="0" applyFont="1"/>
    <xf numFmtId="0" fontId="14" fillId="4" borderId="0" xfId="1" applyFont="1"/>
    <xf numFmtId="0" fontId="14" fillId="4" borderId="1" xfId="1" applyFont="1" applyBorder="1" applyAlignment="1">
      <alignment horizontal="center" vertical="center" wrapText="1"/>
    </xf>
  </cellXfs>
  <cellStyles count="3">
    <cellStyle name="Accent1" xfId="1" builtinId="29"/>
    <cellStyle name="Normal" xfId="0" builtinId="0"/>
    <cellStyle name="Style 1" xfId="2" xr:uid="{EE3FC8C1-7CA4-49E0-A3F0-CE9ADFED0AC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Normal="100" workbookViewId="0">
      <selection activeCell="C8" sqref="C8"/>
    </sheetView>
  </sheetViews>
  <sheetFormatPr defaultColWidth="8.77734375" defaultRowHeight="14.4" x14ac:dyDescent="0.3"/>
  <cols>
    <col min="1" max="1" width="34" customWidth="1"/>
    <col min="2" max="3" width="42" customWidth="1"/>
  </cols>
  <sheetData>
    <row r="1" spans="1:3" ht="16.8" x14ac:dyDescent="0.3">
      <c r="A1" s="10" t="s">
        <v>91</v>
      </c>
      <c r="B1" s="10"/>
      <c r="C1" s="10"/>
    </row>
    <row r="3" spans="1:3" ht="15" x14ac:dyDescent="0.3">
      <c r="A3" s="20" t="s">
        <v>92</v>
      </c>
      <c r="B3" s="20" t="s">
        <v>93</v>
      </c>
      <c r="C3" s="20" t="s">
        <v>94</v>
      </c>
    </row>
    <row r="4" spans="1:3" ht="27.6" x14ac:dyDescent="0.3">
      <c r="A4" s="15" t="s">
        <v>0</v>
      </c>
      <c r="B4" s="12" t="s">
        <v>1</v>
      </c>
      <c r="C4" s="12" t="s">
        <v>2</v>
      </c>
    </row>
    <row r="5" spans="1:3" x14ac:dyDescent="0.3">
      <c r="A5" s="15" t="s">
        <v>3</v>
      </c>
      <c r="B5" s="12" t="s">
        <v>4</v>
      </c>
      <c r="C5" s="12" t="s">
        <v>4</v>
      </c>
    </row>
    <row r="6" spans="1:3" x14ac:dyDescent="0.3">
      <c r="A6" s="15" t="s">
        <v>5</v>
      </c>
      <c r="B6" s="12">
        <v>2</v>
      </c>
      <c r="C6" s="12">
        <v>2</v>
      </c>
    </row>
    <row r="7" spans="1:3" x14ac:dyDescent="0.3">
      <c r="A7" s="15" t="s">
        <v>6</v>
      </c>
      <c r="B7" s="12" t="s">
        <v>7</v>
      </c>
      <c r="C7" s="12">
        <v>250</v>
      </c>
    </row>
    <row r="8" spans="1:3" x14ac:dyDescent="0.3">
      <c r="A8" s="15" t="s">
        <v>8</v>
      </c>
      <c r="B8" s="12">
        <v>500</v>
      </c>
      <c r="C8" s="12">
        <v>510</v>
      </c>
    </row>
    <row r="9" spans="1:3" x14ac:dyDescent="0.3">
      <c r="A9" s="15" t="s">
        <v>9</v>
      </c>
      <c r="B9" s="12">
        <v>5.9</v>
      </c>
      <c r="C9" s="12">
        <v>6</v>
      </c>
    </row>
    <row r="10" spans="1:3" x14ac:dyDescent="0.3">
      <c r="A10" s="15" t="s">
        <v>10</v>
      </c>
      <c r="B10" s="12">
        <v>0.27</v>
      </c>
      <c r="C10" s="12" t="s">
        <v>11</v>
      </c>
    </row>
    <row r="11" spans="1:3" ht="27.6" x14ac:dyDescent="0.3">
      <c r="A11" s="15" t="s">
        <v>12</v>
      </c>
      <c r="B11" s="12" t="s">
        <v>13</v>
      </c>
      <c r="C11" s="12" t="s">
        <v>14</v>
      </c>
    </row>
    <row r="12" spans="1:3" x14ac:dyDescent="0.3">
      <c r="A12" s="15" t="s">
        <v>15</v>
      </c>
      <c r="B12" s="12" t="s">
        <v>16</v>
      </c>
      <c r="C12" s="12" t="s">
        <v>17</v>
      </c>
    </row>
    <row r="13" spans="1:3" x14ac:dyDescent="0.3">
      <c r="A13" s="15" t="s">
        <v>18</v>
      </c>
      <c r="B13" s="12">
        <v>91.6</v>
      </c>
      <c r="C13" s="12" t="s">
        <v>19</v>
      </c>
    </row>
    <row r="14" spans="1:3" x14ac:dyDescent="0.3">
      <c r="A14" s="15" t="s">
        <v>20</v>
      </c>
      <c r="B14" s="12">
        <v>3.3</v>
      </c>
      <c r="C14" s="12" t="s">
        <v>11</v>
      </c>
    </row>
    <row r="15" spans="1:3" x14ac:dyDescent="0.3">
      <c r="A15" s="16"/>
      <c r="B15" s="13"/>
      <c r="C15" s="13"/>
    </row>
    <row r="16" spans="1:3" x14ac:dyDescent="0.3">
      <c r="A16" s="17" t="s">
        <v>21</v>
      </c>
      <c r="B16" s="14">
        <v>98.2</v>
      </c>
      <c r="C16" s="13"/>
    </row>
    <row r="17" spans="1:3" x14ac:dyDescent="0.3">
      <c r="A17" s="17" t="s">
        <v>22</v>
      </c>
      <c r="B17" s="14">
        <v>98.2</v>
      </c>
      <c r="C17" s="13"/>
    </row>
    <row r="18" spans="1:3" x14ac:dyDescent="0.3">
      <c r="A18" s="17" t="s">
        <v>23</v>
      </c>
      <c r="B18" s="14">
        <v>98.4</v>
      </c>
      <c r="C18" s="13"/>
    </row>
    <row r="20" spans="1:3" ht="15.6" x14ac:dyDescent="0.3">
      <c r="A20" s="19" t="s">
        <v>95</v>
      </c>
      <c r="B20" s="19"/>
      <c r="C20" s="19"/>
    </row>
    <row r="21" spans="1:3" x14ac:dyDescent="0.3">
      <c r="A21" s="11" t="s">
        <v>39</v>
      </c>
      <c r="B21" s="14" t="s">
        <v>98</v>
      </c>
      <c r="C21" s="14" t="s">
        <v>103</v>
      </c>
    </row>
    <row r="22" spans="1:3" x14ac:dyDescent="0.3">
      <c r="A22" s="18" t="s">
        <v>41</v>
      </c>
      <c r="B22" s="14" t="s">
        <v>98</v>
      </c>
      <c r="C22" s="14" t="s">
        <v>104</v>
      </c>
    </row>
    <row r="23" spans="1:3" x14ac:dyDescent="0.3">
      <c r="A23" s="18" t="s">
        <v>96</v>
      </c>
      <c r="B23" s="14" t="s">
        <v>99</v>
      </c>
      <c r="C23" s="14" t="s">
        <v>105</v>
      </c>
    </row>
    <row r="24" spans="1:3" x14ac:dyDescent="0.3">
      <c r="A24" s="18" t="s">
        <v>80</v>
      </c>
      <c r="B24" s="14" t="s">
        <v>100</v>
      </c>
      <c r="C24" s="14" t="s">
        <v>33</v>
      </c>
    </row>
    <row r="25" spans="1:3" x14ac:dyDescent="0.3">
      <c r="A25" s="18" t="s">
        <v>97</v>
      </c>
      <c r="B25" s="14" t="s">
        <v>101</v>
      </c>
      <c r="C25" s="14" t="s">
        <v>33</v>
      </c>
    </row>
    <row r="26" spans="1:3" x14ac:dyDescent="0.3">
      <c r="A26" s="18" t="s">
        <v>106</v>
      </c>
      <c r="B26" s="14" t="s">
        <v>102</v>
      </c>
      <c r="C26" s="14" t="s">
        <v>33</v>
      </c>
    </row>
    <row r="27" spans="1:3" x14ac:dyDescent="0.3">
      <c r="A27" s="18" t="s">
        <v>87</v>
      </c>
      <c r="B27" s="14" t="s">
        <v>100</v>
      </c>
      <c r="C27" s="14" t="s">
        <v>33</v>
      </c>
    </row>
  </sheetData>
  <mergeCells count="2">
    <mergeCell ref="A1:C1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zoomScaleNormal="100" workbookViewId="0"/>
  </sheetViews>
  <sheetFormatPr defaultColWidth="8.77734375" defaultRowHeight="14.4" x14ac:dyDescent="0.3"/>
  <cols>
    <col min="1" max="1" width="34" customWidth="1"/>
    <col min="2" max="2" width="16" customWidth="1"/>
    <col min="3" max="3" width="12" customWidth="1"/>
    <col min="4" max="4" width="44" customWidth="1"/>
  </cols>
  <sheetData>
    <row r="1" spans="1:4" ht="16.8" x14ac:dyDescent="0.3">
      <c r="A1" s="10" t="s">
        <v>24</v>
      </c>
      <c r="B1" s="10"/>
      <c r="C1" s="10"/>
      <c r="D1" s="10"/>
    </row>
    <row r="3" spans="1:4" x14ac:dyDescent="0.3">
      <c r="A3" s="1" t="s">
        <v>25</v>
      </c>
      <c r="B3" s="1" t="s">
        <v>26</v>
      </c>
      <c r="C3" s="1" t="s">
        <v>27</v>
      </c>
      <c r="D3" s="1" t="s">
        <v>28</v>
      </c>
    </row>
    <row r="4" spans="1:4" x14ac:dyDescent="0.3">
      <c r="A4" s="4" t="s">
        <v>29</v>
      </c>
      <c r="B4" s="5">
        <v>1150000000</v>
      </c>
      <c r="C4" s="4" t="s">
        <v>30</v>
      </c>
      <c r="D4" s="6" t="s">
        <v>31</v>
      </c>
    </row>
    <row r="5" spans="1:4" x14ac:dyDescent="0.3">
      <c r="A5" s="4" t="s">
        <v>32</v>
      </c>
      <c r="B5" s="5">
        <v>0.9</v>
      </c>
      <c r="C5" s="4" t="s">
        <v>33</v>
      </c>
      <c r="D5" s="6" t="s">
        <v>31</v>
      </c>
    </row>
    <row r="6" spans="1:4" x14ac:dyDescent="0.3">
      <c r="A6" s="4" t="s">
        <v>34</v>
      </c>
      <c r="B6" s="4">
        <f>B4/(8760*B5)</f>
        <v>145865.04312531711</v>
      </c>
      <c r="C6" s="4" t="s">
        <v>35</v>
      </c>
      <c r="D6" s="6" t="s">
        <v>36</v>
      </c>
    </row>
    <row r="7" spans="1:4" x14ac:dyDescent="0.3">
      <c r="A7" s="4" t="s">
        <v>37</v>
      </c>
      <c r="B7" s="5">
        <v>145710</v>
      </c>
      <c r="C7" s="4" t="s">
        <v>35</v>
      </c>
      <c r="D7" s="6" t="s">
        <v>31</v>
      </c>
    </row>
    <row r="9" spans="1:4" x14ac:dyDescent="0.3">
      <c r="A9" s="7" t="s">
        <v>38</v>
      </c>
      <c r="B9" s="7"/>
      <c r="C9" s="7"/>
      <c r="D9" s="7"/>
    </row>
    <row r="11" spans="1:4" x14ac:dyDescent="0.3">
      <c r="A11" s="4" t="s">
        <v>39</v>
      </c>
      <c r="B11" s="5">
        <v>0.26912999999999998</v>
      </c>
      <c r="C11" s="4" t="s">
        <v>40</v>
      </c>
      <c r="D11" s="6" t="s">
        <v>31</v>
      </c>
    </row>
    <row r="12" spans="1:4" x14ac:dyDescent="0.3">
      <c r="A12" s="4" t="s">
        <v>41</v>
      </c>
      <c r="B12" s="5">
        <v>0.74843999999999999</v>
      </c>
      <c r="C12" s="4" t="s">
        <v>40</v>
      </c>
      <c r="D12" s="6" t="s">
        <v>31</v>
      </c>
    </row>
    <row r="13" spans="1:4" x14ac:dyDescent="0.3">
      <c r="A13" s="4" t="s">
        <v>42</v>
      </c>
      <c r="B13" s="5">
        <v>4.96E-3</v>
      </c>
      <c r="C13" s="4" t="s">
        <v>40</v>
      </c>
      <c r="D13" s="6" t="s">
        <v>31</v>
      </c>
    </row>
    <row r="14" spans="1:4" x14ac:dyDescent="0.3">
      <c r="A14" s="4" t="s">
        <v>43</v>
      </c>
      <c r="B14" s="5">
        <v>1.281E-2</v>
      </c>
      <c r="C14" s="4" t="s">
        <v>40</v>
      </c>
      <c r="D14" s="6" t="s">
        <v>31</v>
      </c>
    </row>
    <row r="16" spans="1:4" x14ac:dyDescent="0.3">
      <c r="A16" s="7" t="s">
        <v>44</v>
      </c>
      <c r="B16" s="7"/>
      <c r="C16" s="7"/>
      <c r="D16" s="7"/>
    </row>
    <row r="17" spans="1:4" x14ac:dyDescent="0.3">
      <c r="A17" s="4" t="s">
        <v>45</v>
      </c>
      <c r="B17" s="4">
        <f>B11*B7</f>
        <v>39214.9323</v>
      </c>
      <c r="C17" s="4" t="s">
        <v>35</v>
      </c>
      <c r="D17" s="6" t="s">
        <v>46</v>
      </c>
    </row>
    <row r="18" spans="1:4" x14ac:dyDescent="0.3">
      <c r="A18" s="4" t="s">
        <v>47</v>
      </c>
      <c r="B18" s="4">
        <f>B12*B7</f>
        <v>109055.1924</v>
      </c>
      <c r="C18" s="4" t="s">
        <v>35</v>
      </c>
      <c r="D18" s="6" t="s">
        <v>48</v>
      </c>
    </row>
    <row r="19" spans="1:4" x14ac:dyDescent="0.3">
      <c r="A19" s="4" t="s">
        <v>49</v>
      </c>
      <c r="B19" s="4">
        <f>B13*B7</f>
        <v>722.72159999999997</v>
      </c>
      <c r="C19" s="4" t="s">
        <v>35</v>
      </c>
      <c r="D19" s="6" t="s">
        <v>50</v>
      </c>
    </row>
    <row r="20" spans="1:4" x14ac:dyDescent="0.3">
      <c r="A20" s="4" t="s">
        <v>51</v>
      </c>
      <c r="B20" s="4">
        <f>B14*B7</f>
        <v>1866.5451</v>
      </c>
      <c r="C20" s="4" t="s">
        <v>35</v>
      </c>
      <c r="D20" s="6" t="s">
        <v>52</v>
      </c>
    </row>
    <row r="22" spans="1:4" x14ac:dyDescent="0.3">
      <c r="A22" s="8" t="s">
        <v>53</v>
      </c>
      <c r="B22" s="9"/>
      <c r="C22" s="9"/>
      <c r="D22" s="9"/>
    </row>
    <row r="23" spans="1:4" x14ac:dyDescent="0.3">
      <c r="A23" s="4" t="s">
        <v>54</v>
      </c>
      <c r="B23" s="5">
        <v>39285</v>
      </c>
      <c r="C23" s="4" t="s">
        <v>35</v>
      </c>
      <c r="D23" s="6" t="s">
        <v>31</v>
      </c>
    </row>
    <row r="24" spans="1:4" x14ac:dyDescent="0.3">
      <c r="A24" s="4" t="s">
        <v>55</v>
      </c>
      <c r="B24" s="5">
        <v>109054</v>
      </c>
      <c r="C24" s="4" t="s">
        <v>35</v>
      </c>
      <c r="D24" s="6" t="s">
        <v>31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Normal="100" workbookViewId="0"/>
  </sheetViews>
  <sheetFormatPr defaultColWidth="8.77734375" defaultRowHeight="14.4" x14ac:dyDescent="0.3"/>
  <cols>
    <col min="1" max="1" width="12" customWidth="1"/>
    <col min="2" max="2" width="26" customWidth="1"/>
    <col min="3" max="3" width="60" customWidth="1"/>
  </cols>
  <sheetData>
    <row r="1" spans="1:3" ht="16.8" x14ac:dyDescent="0.3">
      <c r="A1" s="10" t="s">
        <v>56</v>
      </c>
      <c r="B1" s="10"/>
      <c r="C1" s="10"/>
    </row>
    <row r="3" spans="1:3" x14ac:dyDescent="0.3">
      <c r="A3" s="1" t="s">
        <v>57</v>
      </c>
      <c r="B3" s="1" t="s">
        <v>58</v>
      </c>
      <c r="C3" s="1" t="s">
        <v>59</v>
      </c>
    </row>
    <row r="4" spans="1:3" x14ac:dyDescent="0.3">
      <c r="A4" s="2" t="s">
        <v>60</v>
      </c>
      <c r="B4" s="2" t="s">
        <v>61</v>
      </c>
      <c r="C4" s="3" t="s">
        <v>62</v>
      </c>
    </row>
    <row r="5" spans="1:3" x14ac:dyDescent="0.3">
      <c r="A5" s="2" t="s">
        <v>63</v>
      </c>
      <c r="B5" s="2" t="s">
        <v>64</v>
      </c>
      <c r="C5" s="3" t="s">
        <v>65</v>
      </c>
    </row>
    <row r="6" spans="1:3" ht="27.6" x14ac:dyDescent="0.3">
      <c r="A6" s="2" t="s">
        <v>66</v>
      </c>
      <c r="B6" s="2" t="s">
        <v>67</v>
      </c>
      <c r="C6" s="3" t="s">
        <v>68</v>
      </c>
    </row>
    <row r="7" spans="1:3" ht="27.6" x14ac:dyDescent="0.3">
      <c r="A7" s="2" t="s">
        <v>69</v>
      </c>
      <c r="B7" s="2" t="s">
        <v>70</v>
      </c>
      <c r="C7" s="3" t="s">
        <v>71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/>
  </sheetViews>
  <sheetFormatPr defaultColWidth="8.77734375" defaultRowHeight="14.4" x14ac:dyDescent="0.3"/>
  <cols>
    <col min="1" max="1" width="20" customWidth="1"/>
    <col min="2" max="2" width="32" customWidth="1"/>
    <col min="3" max="3" width="14" customWidth="1"/>
    <col min="4" max="4" width="40" customWidth="1"/>
  </cols>
  <sheetData>
    <row r="1" spans="1:4" ht="16.8" x14ac:dyDescent="0.3">
      <c r="A1" s="10" t="s">
        <v>72</v>
      </c>
      <c r="B1" s="10"/>
      <c r="C1" s="10"/>
      <c r="D1" s="10"/>
    </row>
    <row r="3" spans="1:4" x14ac:dyDescent="0.3">
      <c r="A3" s="1" t="s">
        <v>25</v>
      </c>
      <c r="B3" s="1" t="s">
        <v>73</v>
      </c>
      <c r="C3" s="1" t="s">
        <v>74</v>
      </c>
      <c r="D3" s="1" t="s">
        <v>75</v>
      </c>
    </row>
    <row r="4" spans="1:4" x14ac:dyDescent="0.3">
      <c r="A4" s="4" t="s">
        <v>39</v>
      </c>
      <c r="B4" s="4" t="s">
        <v>76</v>
      </c>
      <c r="C4" s="5">
        <v>39285</v>
      </c>
      <c r="D4" s="6"/>
    </row>
    <row r="5" spans="1:4" x14ac:dyDescent="0.3">
      <c r="A5" s="4" t="s">
        <v>41</v>
      </c>
      <c r="B5" s="4" t="s">
        <v>76</v>
      </c>
      <c r="C5" s="5">
        <v>109054</v>
      </c>
      <c r="D5" s="6"/>
    </row>
    <row r="6" spans="1:4" x14ac:dyDescent="0.3">
      <c r="A6" s="4" t="s">
        <v>77</v>
      </c>
      <c r="B6" s="4" t="s">
        <v>78</v>
      </c>
      <c r="C6" s="5">
        <v>145710</v>
      </c>
      <c r="D6" s="6" t="s">
        <v>79</v>
      </c>
    </row>
    <row r="7" spans="1:4" x14ac:dyDescent="0.3">
      <c r="A7" s="4" t="s">
        <v>80</v>
      </c>
      <c r="B7" s="4" t="s">
        <v>81</v>
      </c>
      <c r="C7" s="4" t="s">
        <v>82</v>
      </c>
      <c r="D7" s="6"/>
    </row>
    <row r="8" spans="1:4" x14ac:dyDescent="0.3">
      <c r="A8" s="4" t="s">
        <v>83</v>
      </c>
      <c r="B8" s="4" t="s">
        <v>84</v>
      </c>
      <c r="C8" s="4" t="s">
        <v>82</v>
      </c>
      <c r="D8" s="6" t="s">
        <v>85</v>
      </c>
    </row>
    <row r="9" spans="1:4" x14ac:dyDescent="0.3">
      <c r="A9" s="4" t="s">
        <v>86</v>
      </c>
      <c r="B9" s="4" t="s">
        <v>81</v>
      </c>
      <c r="C9" s="4" t="s">
        <v>82</v>
      </c>
      <c r="D9" s="6"/>
    </row>
    <row r="10" spans="1:4" x14ac:dyDescent="0.3">
      <c r="A10" s="4" t="s">
        <v>87</v>
      </c>
      <c r="B10" s="4" t="s">
        <v>81</v>
      </c>
      <c r="C10" s="4" t="s">
        <v>82</v>
      </c>
      <c r="D10" s="6" t="s">
        <v>88</v>
      </c>
    </row>
    <row r="11" spans="1:4" x14ac:dyDescent="0.3">
      <c r="A11" s="4" t="s">
        <v>89</v>
      </c>
      <c r="B11" s="4" t="s">
        <v>90</v>
      </c>
      <c r="C11" s="4" t="s">
        <v>82</v>
      </c>
      <c r="D11" s="6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Reactor_Data</vt:lpstr>
      <vt:lpstr>Material_Balance</vt:lpstr>
      <vt:lpstr>Column_Data</vt:lpstr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khadija aliyeva</cp:lastModifiedBy>
  <cp:revision>0</cp:revision>
  <dcterms:created xsi:type="dcterms:W3CDTF">2026-10-03T19:22:26Z</dcterms:created>
  <dcterms:modified xsi:type="dcterms:W3CDTF">2026-10-03T19:43:42Z</dcterms:modified>
  <dc:language>en-US</dc:language>
</cp:coreProperties>
</file>